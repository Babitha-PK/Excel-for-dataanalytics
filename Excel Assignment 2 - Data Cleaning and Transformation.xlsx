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ELL\Desktop\DATA ANALYTICS\EXCEL\"/>
    </mc:Choice>
  </mc:AlternateContent>
  <xr:revisionPtr revIDLastSave="0" documentId="13_ncr:1_{20AFBD3D-9C40-4D34-9A4D-8A44946563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2" r:id="rId1"/>
    <sheet name="Instruc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2" i="2"/>
  <c r="G11" i="2"/>
  <c r="G3" i="2"/>
  <c r="G4" i="2"/>
  <c r="G5" i="2"/>
  <c r="G6" i="2"/>
  <c r="G7" i="2"/>
  <c r="G8" i="2"/>
  <c r="G9" i="2"/>
  <c r="G10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</calcChain>
</file>

<file path=xl/sharedStrings.xml><?xml version="1.0" encoding="utf-8"?>
<sst xmlns="http://schemas.openxmlformats.org/spreadsheetml/2006/main" count="200" uniqueCount="132">
  <si>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</si>
  <si>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</si>
  <si>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</si>
  <si>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</si>
  <si>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</si>
  <si>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</si>
  <si>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</si>
  <si>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</si>
  <si>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</si>
  <si>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</si>
  <si>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</si>
  <si>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</si>
  <si>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</si>
  <si>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</si>
  <si>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</si>
  <si>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</si>
  <si>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</si>
  <si>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</si>
  <si>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</si>
  <si>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</si>
  <si>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</si>
  <si>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</si>
  <si>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</si>
  <si>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</si>
  <si>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</si>
  <si>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laptop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</si>
  <si>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</si>
  <si>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</si>
  <si>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</si>
  <si>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</si>
  <si>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</si>
  <si>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</si>
  <si>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</si>
  <si>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</si>
  <si>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smartphone</t>
  </si>
  <si>
    <t>Samsung</t>
  </si>
  <si>
    <t>Backpack</t>
  </si>
  <si>
    <t>North Face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</si>
  <si>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</si>
  <si>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</si>
  <si>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</si>
  <si>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</si>
  <si>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</si>
  <si>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</si>
  <si>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</si>
  <si>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</si>
  <si>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</si>
  <si>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</si>
  <si>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</si>
  <si>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</si>
  <si>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</si>
  <si>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</si>
  <si>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</si>
  <si>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</si>
  <si>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headphones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</si>
  <si>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</si>
  <si>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</si>
  <si>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</si>
  <si>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</si>
  <si>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</si>
  <si>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</si>
  <si>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</si>
  <si>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</si>
  <si>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</si>
  <si>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</si>
  <si>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</si>
  <si>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</si>
  <si>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</si>
  <si>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</si>
  <si>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</si>
  <si>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</si>
  <si>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</si>
  <si>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</si>
  <si>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</si>
  <si>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</si>
  <si>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</si>
  <si>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</si>
  <si>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</si>
  <si>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</si>
  <si>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</si>
  <si>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</si>
  <si>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</si>
  <si>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</si>
  <si>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</si>
  <si>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1.Handling Missing Values</t>
  </si>
  <si>
    <t>Price Replaced</t>
  </si>
  <si>
    <t>Category imputed</t>
  </si>
  <si>
    <t>ii. The category column blanks can be replaced with the "unknown" value.</t>
  </si>
  <si>
    <t>2.Correcting inconsisitent data</t>
  </si>
  <si>
    <t>i. In product name column we need to apply the PROPER() to convert to title case</t>
  </si>
  <si>
    <t>I. Since price column is of number type we can replace the missing cells with the mean of the price column.</t>
  </si>
  <si>
    <t>ii.Apply the spell check option in the review tab.</t>
  </si>
  <si>
    <t>iii. "Product name" column format changed to "Text" , Fixed the typo errors using find and replace</t>
  </si>
  <si>
    <t>3.  Duplicates removed</t>
  </si>
  <si>
    <t>i. Duplicate values are removed by using the option "Remove duplicates" on the data tab</t>
  </si>
  <si>
    <t>Manufacturing Date</t>
  </si>
  <si>
    <t>Product name(Formatted)</t>
  </si>
  <si>
    <t>Country Code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</si>
  <si>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</si>
  <si>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</si>
  <si>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</si>
  <si>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</si>
  <si>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</si>
  <si>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</si>
  <si>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</si>
  <si>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</si>
  <si>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</si>
  <si>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</si>
  <si>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</si>
  <si>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</si>
  <si>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</si>
  <si>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</si>
  <si>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</si>
  <si>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</si>
  <si>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</si>
  <si>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</si>
  <si>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</si>
  <si>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</si>
  <si>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</si>
  <si>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</si>
  <si>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</si>
  <si>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</si>
  <si>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</si>
  <si>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4.Splitting and Merging</t>
  </si>
  <si>
    <t>i. Product Id column splitted into 2 separate columns by using "Text to Columns" function</t>
  </si>
  <si>
    <t>ii. Producted name and Brand name columns merged into Product brand using CONCATENATE ()</t>
  </si>
  <si>
    <t>5.Number formatting</t>
  </si>
  <si>
    <r>
      <t xml:space="preserve">i. </t>
    </r>
    <r>
      <rPr>
        <sz val="10"/>
        <color rgb="FF000000"/>
        <rFont val="Arial"/>
        <family val="2"/>
        <scheme val="minor"/>
      </rPr>
      <t>Datatype of price column changed to Currency</t>
    </r>
  </si>
  <si>
    <r>
      <t xml:space="preserve">ii. </t>
    </r>
    <r>
      <rPr>
        <sz val="10"/>
        <color rgb="FF000000"/>
        <rFont val="Arial"/>
        <family val="2"/>
        <scheme val="minor"/>
      </rPr>
      <t>Manufacturing date column changed to date format</t>
    </r>
  </si>
  <si>
    <t>6. Conditional formatting</t>
  </si>
  <si>
    <r>
      <t>i.</t>
    </r>
    <r>
      <rPr>
        <sz val="10"/>
        <color rgb="FF000000"/>
        <rFont val="Arial"/>
        <family val="2"/>
        <scheme val="minor"/>
      </rPr>
      <t>Applied colour scale formatting</t>
    </r>
  </si>
  <si>
    <r>
      <t xml:space="preserve">ii. </t>
    </r>
    <r>
      <rPr>
        <sz val="10"/>
        <color rgb="FF000000"/>
        <rFont val="Arial"/>
        <family val="2"/>
        <scheme val="minor"/>
      </rPr>
      <t>Applied conditional formating in the Category column with cells highlighted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</si>
</sst>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₹&quot;\ #,##0.00"/>
    <numFmt numFmtId="166" formatCode="[$-F800]dddd\,\ mmmm\ dd\,\ yyyy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4" borderId="0" xfId="0" applyFont="1" applyFill="1"/>
    <xf numFmtId="0" fontId="8" fillId="0" borderId="0" xfId="0" applyFont="1"/>
    <xf numFmtId="0" fontId="12" fillId="0" borderId="0" xfId="0" applyFont="1"/>
    <xf numFmtId="49" fontId="5" fillId="4" borderId="0" xfId="0" applyNumberFormat="1" applyFont="1" applyFill="1"/>
    <xf numFmtId="0" fontId="12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5" fillId="5" borderId="0" xfId="0" applyFont="1" applyFill="1"/>
    <xf numFmtId="0" fontId="9" fillId="0" borderId="0" xfId="0" applyFont="1" applyAlignment="1">
      <alignment horizontal="center" wrapText="1"/>
    </xf>
    <xf numFmtId="165" fontId="5" fillId="4" borderId="0" xfId="0" applyNumberFormat="1" applyFont="1" applyFill="1" applyAlignment="1">
      <alignment horizontal="right"/>
    </xf>
    <xf numFmtId="166" fontId="5" fillId="4" borderId="0" xfId="0" applyNumberFormat="1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tabSelected="1" workbookViewId="0">
      <selection activeCell="Q25" sqref="Q25"/>
    </sheetView>
  </sheetViews>
  <sheetFormatPr defaultColWidth="12.6640625" defaultRowHeight="15" customHeight="1" x14ac:dyDescent="0.25"/>
  <cols>
    <col min="2" max="2" width="7.109375" customWidth="1"/>
    <col min="3" max="3" width="6.44140625" customWidth="1"/>
    <col min="4" max="4" width="14.21875" customWidth="1"/>
    <col min="5" max="5" width="9.21875" customWidth="1"/>
    <col min="6" max="8" width="12.6640625" customWidth="1"/>
    <col min="9" max="9" width="21.33203125" customWidth="1"/>
    <col min="10" max="10" width="10.6640625" customWidth="1"/>
    <col min="11" max="11" width="10.77734375" customWidth="1"/>
    <col min="12" max="12" width="10.5546875" customWidth="1"/>
    <col min="13" max="13" width="11.21875" customWidth="1"/>
    <col min="14" max="14" width="12.6640625" customWidth="1"/>
  </cols>
  <sheetData>
    <row r="1" spans="1:24" ht="45" customHeight="1" x14ac:dyDescent="0.25">
      <c r="A1" s="7" t="s">
        <v>19</v>
      </c>
      <c r="D1" s="16" t="s">
        <v>95</v>
      </c>
      <c r="E1" s="16" t="s">
        <v>97</v>
      </c>
      <c r="F1" s="17" t="s">
        <v>20</v>
      </c>
      <c r="G1" s="16" t="s">
        <v>96</v>
      </c>
      <c r="H1" s="17" t="s">
        <v>21</v>
      </c>
      <c r="I1" s="17" t="s">
        <v>122</v>
      </c>
      <c r="J1" s="16" t="s">
        <v>85</v>
      </c>
      <c r="K1" s="7" t="s">
        <v>22</v>
      </c>
      <c r="L1" s="7" t="s">
        <v>23</v>
      </c>
      <c r="M1" s="16" t="s">
        <v>86</v>
      </c>
      <c r="N1" s="7" t="s">
        <v>24</v>
      </c>
      <c r="Q1" s="19" t="s">
        <v>84</v>
      </c>
      <c r="R1" s="19"/>
    </row>
    <row r="2" spans="1:24" ht="15.75" customHeight="1" x14ac:dyDescent="0.25">
      <c r="A2" t="str">
        <f>CONCATENATE(B2,"-",C2,"-",E2)</f>
        <v>28-JAN-US</v>
      </c>
      <c r="B2" s="13">
        <v>28</v>
      </c>
      <c r="C2" s="5" t="s">
        <v>98</v>
      </c>
      <c r="D2" s="21" t="str">
        <f>CONCATENATE(B2,"-",C2)</f>
        <v>28-JAN</v>
      </c>
      <c r="E2" s="12" t="s">
        <v>99</v>
      </c>
      <c r="F2" s="5" t="s">
        <v>25</v>
      </c>
      <c r="G2" s="15" t="str">
        <f>PROPER(F2)</f>
        <v>Laptop</v>
      </c>
      <c r="H2" s="5" t="s">
        <v>26</v>
      </c>
      <c r="I2" s="12" t="str">
        <f>CONCATENATE(G2," ",H2)</f>
        <v>Laptop Dell</v>
      </c>
      <c r="J2" s="20">
        <f>IF(ISBLANK(K2),AVERAGE($K$2:$K$32),K2)</f>
        <v>1000</v>
      </c>
      <c r="K2" s="5">
        <v>1000</v>
      </c>
      <c r="L2" s="5">
        <v>30</v>
      </c>
      <c r="M2" s="12" t="str">
        <f>IF(ISBLANK(N2),"Unknown",N2)</f>
        <v>Electronics</v>
      </c>
      <c r="N2" s="5" t="s">
        <v>27</v>
      </c>
      <c r="Q2" s="10" t="s">
        <v>90</v>
      </c>
    </row>
    <row r="3" spans="1:24" ht="15.75" customHeight="1" x14ac:dyDescent="0.3">
      <c r="A3" t="str">
        <f t="shared" ref="A3:A32" si="0">CONCATENATE(B3,"-",C3,"-",E3)</f>
        <v>15-FEB-US</v>
      </c>
      <c r="B3" s="8">
        <v>15</v>
      </c>
      <c r="C3" s="8" t="s">
        <v>100</v>
      </c>
      <c r="D3" s="21" t="str">
        <f t="shared" ref="D3:D32" si="1">CONCATENATE(B3,"-",C3)</f>
        <v>15-FEB</v>
      </c>
      <c r="E3" s="18" t="s">
        <v>99</v>
      </c>
      <c r="F3" s="8" t="s">
        <v>28</v>
      </c>
      <c r="G3" s="15" t="str">
        <f t="shared" ref="G3:G32" si="2">PROPER(F3)</f>
        <v>Sneakers</v>
      </c>
      <c r="H3" s="8" t="s">
        <v>29</v>
      </c>
      <c r="I3" s="12" t="str">
        <f t="shared" ref="I3:I32" si="3">CONCATENATE(G3," ",H3)</f>
        <v>Sneakers Nike</v>
      </c>
      <c r="J3" s="20">
        <f t="shared" ref="J3:J32" si="4">IF(ISBLANK(K3),AVERAGE($K$2:$K$32),K3)</f>
        <v>80</v>
      </c>
      <c r="K3" s="8">
        <v>80</v>
      </c>
      <c r="L3" s="8">
        <v>15</v>
      </c>
      <c r="M3" s="12" t="str">
        <f t="shared" ref="M3:M32" si="5">IF(ISBLANK(N3),"Unknown",N3)</f>
        <v>Fashion</v>
      </c>
      <c r="N3" s="8" t="s">
        <v>30</v>
      </c>
      <c r="Q3" s="11" t="s">
        <v>87</v>
      </c>
      <c r="R3" s="5"/>
      <c r="S3" s="5"/>
      <c r="T3" s="5"/>
      <c r="U3" s="5"/>
      <c r="V3" s="5"/>
      <c r="W3" s="5"/>
      <c r="X3" s="5"/>
    </row>
    <row r="4" spans="1:24" ht="15.75" customHeight="1" x14ac:dyDescent="0.3">
      <c r="A4" t="str">
        <f t="shared" si="0"/>
        <v>3-MAR-US</v>
      </c>
      <c r="B4" s="5">
        <v>3</v>
      </c>
      <c r="C4" s="5" t="s">
        <v>101</v>
      </c>
      <c r="D4" s="21" t="str">
        <f t="shared" si="1"/>
        <v>3-MAR</v>
      </c>
      <c r="E4" s="12" t="s">
        <v>99</v>
      </c>
      <c r="F4" s="5" t="s">
        <v>31</v>
      </c>
      <c r="G4" s="15" t="str">
        <f t="shared" si="2"/>
        <v>Coffee Maker</v>
      </c>
      <c r="H4" s="5" t="s">
        <v>32</v>
      </c>
      <c r="I4" s="12" t="str">
        <f t="shared" si="3"/>
        <v>Coffee Maker Keurig</v>
      </c>
      <c r="J4" s="20">
        <f t="shared" si="4"/>
        <v>130</v>
      </c>
      <c r="K4" s="5">
        <v>130</v>
      </c>
      <c r="L4" s="5">
        <v>40</v>
      </c>
      <c r="M4" s="12" t="str">
        <f t="shared" si="5"/>
        <v>Kitchen</v>
      </c>
      <c r="N4" s="5" t="s">
        <v>33</v>
      </c>
      <c r="Q4" s="14" t="s">
        <v>88</v>
      </c>
      <c r="R4" s="3"/>
      <c r="S4" s="5"/>
      <c r="T4" s="5"/>
      <c r="U4" s="5"/>
      <c r="V4" s="5"/>
      <c r="W4" s="5"/>
      <c r="X4" s="5"/>
    </row>
    <row r="5" spans="1:24" ht="15.75" customHeight="1" x14ac:dyDescent="0.25">
      <c r="A5" t="str">
        <f t="shared" si="0"/>
        <v>11-APR-US</v>
      </c>
      <c r="B5" s="8">
        <v>11</v>
      </c>
      <c r="C5" s="8" t="s">
        <v>102</v>
      </c>
      <c r="D5" s="21" t="str">
        <f t="shared" si="1"/>
        <v>11-APR</v>
      </c>
      <c r="E5" s="18" t="s">
        <v>99</v>
      </c>
      <c r="F5" s="8" t="s">
        <v>34</v>
      </c>
      <c r="G5" s="15" t="str">
        <f t="shared" si="2"/>
        <v>Smartphone</v>
      </c>
      <c r="H5" s="8" t="s">
        <v>35</v>
      </c>
      <c r="I5" s="12" t="str">
        <f t="shared" si="3"/>
        <v>Smartphone Samsung</v>
      </c>
      <c r="J5" s="20">
        <f t="shared" si="4"/>
        <v>900</v>
      </c>
      <c r="K5" s="8">
        <v>900</v>
      </c>
      <c r="L5" s="8">
        <v>25</v>
      </c>
      <c r="M5" s="12" t="str">
        <f t="shared" si="5"/>
        <v>Electronics</v>
      </c>
      <c r="N5" s="8" t="s">
        <v>27</v>
      </c>
      <c r="Q5" s="10" t="s">
        <v>89</v>
      </c>
      <c r="S5" s="5"/>
      <c r="T5" s="5"/>
      <c r="U5" s="5"/>
      <c r="V5" s="5"/>
      <c r="W5" s="5"/>
      <c r="X5" s="5"/>
    </row>
    <row r="6" spans="1:24" ht="15.75" customHeight="1" x14ac:dyDescent="0.25">
      <c r="A6" t="str">
        <f t="shared" si="0"/>
        <v>22-MAY-US</v>
      </c>
      <c r="B6" s="5">
        <v>22</v>
      </c>
      <c r="C6" s="5" t="s">
        <v>103</v>
      </c>
      <c r="D6" s="21" t="str">
        <f t="shared" si="1"/>
        <v>22-MAY</v>
      </c>
      <c r="E6" s="12" t="s">
        <v>99</v>
      </c>
      <c r="F6" s="5" t="s">
        <v>36</v>
      </c>
      <c r="G6" s="15" t="str">
        <f t="shared" si="2"/>
        <v>Backpack</v>
      </c>
      <c r="H6" s="5" t="s">
        <v>37</v>
      </c>
      <c r="I6" s="12" t="str">
        <f t="shared" si="3"/>
        <v>Backpack North Face</v>
      </c>
      <c r="J6" s="20">
        <f t="shared" si="4"/>
        <v>70</v>
      </c>
      <c r="K6" s="5">
        <v>70</v>
      </c>
      <c r="L6" s="5">
        <v>20</v>
      </c>
      <c r="M6" s="12" t="str">
        <f t="shared" si="5"/>
        <v>Unknown</v>
      </c>
      <c r="N6" s="5"/>
      <c r="Q6" t="s">
        <v>91</v>
      </c>
    </row>
    <row r="7" spans="1:24" ht="15.75" customHeight="1" x14ac:dyDescent="0.25">
      <c r="A7" t="str">
        <f t="shared" si="0"/>
        <v>7-JUN-UK</v>
      </c>
      <c r="B7" s="8">
        <v>7</v>
      </c>
      <c r="C7" s="8" t="s">
        <v>104</v>
      </c>
      <c r="D7" s="21" t="str">
        <f t="shared" si="1"/>
        <v>7-JUN</v>
      </c>
      <c r="E7" s="18" t="s">
        <v>105</v>
      </c>
      <c r="F7" s="8" t="s">
        <v>38</v>
      </c>
      <c r="G7" s="15" t="str">
        <f t="shared" si="2"/>
        <v>Headphones</v>
      </c>
      <c r="H7" s="8" t="s">
        <v>39</v>
      </c>
      <c r="I7" s="12" t="str">
        <f t="shared" si="3"/>
        <v>Headphones Sony</v>
      </c>
      <c r="J7" s="20">
        <f t="shared" si="4"/>
        <v>297.85714285714283</v>
      </c>
      <c r="K7" s="8"/>
      <c r="L7" s="8">
        <v>45</v>
      </c>
      <c r="M7" s="12" t="str">
        <f t="shared" si="5"/>
        <v>Electronics</v>
      </c>
      <c r="N7" s="8" t="s">
        <v>27</v>
      </c>
      <c r="Q7" s="10" t="s">
        <v>92</v>
      </c>
    </row>
    <row r="8" spans="1:24" ht="15.75" customHeight="1" x14ac:dyDescent="0.25">
      <c r="A8" t="str">
        <f t="shared" si="0"/>
        <v>19-JUL-UK</v>
      </c>
      <c r="B8" s="5">
        <v>19</v>
      </c>
      <c r="C8" s="5" t="s">
        <v>106</v>
      </c>
      <c r="D8" s="21" t="str">
        <f t="shared" si="1"/>
        <v>19-JUL</v>
      </c>
      <c r="E8" s="12" t="s">
        <v>105</v>
      </c>
      <c r="F8" s="5" t="s">
        <v>40</v>
      </c>
      <c r="G8" s="15" t="str">
        <f t="shared" si="2"/>
        <v>T-Shirt</v>
      </c>
      <c r="H8" s="5" t="s">
        <v>41</v>
      </c>
      <c r="I8" s="12" t="str">
        <f t="shared" si="3"/>
        <v>T-Shirt Adidas</v>
      </c>
      <c r="J8" s="20">
        <f t="shared" si="4"/>
        <v>30</v>
      </c>
      <c r="K8" s="5">
        <v>30</v>
      </c>
      <c r="L8" s="5">
        <v>5</v>
      </c>
      <c r="M8" s="12" t="str">
        <f t="shared" si="5"/>
        <v>Fashion</v>
      </c>
      <c r="N8" s="5" t="s">
        <v>30</v>
      </c>
      <c r="Q8" s="9" t="s">
        <v>93</v>
      </c>
      <c r="R8" s="13"/>
    </row>
    <row r="9" spans="1:24" ht="15.75" customHeight="1" x14ac:dyDescent="0.25">
      <c r="A9" t="str">
        <f t="shared" si="0"/>
        <v>23-AUG-UK</v>
      </c>
      <c r="B9" s="8">
        <v>23</v>
      </c>
      <c r="C9" s="8" t="s">
        <v>107</v>
      </c>
      <c r="D9" s="21" t="str">
        <f t="shared" si="1"/>
        <v>23-AUG</v>
      </c>
      <c r="E9" s="18" t="s">
        <v>105</v>
      </c>
      <c r="F9" s="8" t="s">
        <v>42</v>
      </c>
      <c r="G9" s="15" t="str">
        <f t="shared" si="2"/>
        <v>Blender</v>
      </c>
      <c r="H9" s="8" t="s">
        <v>43</v>
      </c>
      <c r="I9" s="12" t="str">
        <f t="shared" si="3"/>
        <v>Blender Ninja</v>
      </c>
      <c r="J9" s="20">
        <f t="shared" si="4"/>
        <v>90</v>
      </c>
      <c r="K9" s="8">
        <v>90</v>
      </c>
      <c r="L9" s="8">
        <v>35</v>
      </c>
      <c r="M9" s="12" t="str">
        <f t="shared" si="5"/>
        <v>Kitchen</v>
      </c>
      <c r="N9" s="8" t="s">
        <v>33</v>
      </c>
      <c r="Q9" s="10" t="s">
        <v>94</v>
      </c>
    </row>
    <row r="10" spans="1:24" ht="15.75" customHeight="1" x14ac:dyDescent="0.25">
      <c r="A10" t="str">
        <f t="shared" si="0"/>
        <v>5-SEP-UK</v>
      </c>
      <c r="B10" s="5">
        <v>5</v>
      </c>
      <c r="C10" s="5" t="s">
        <v>108</v>
      </c>
      <c r="D10" s="21" t="str">
        <f t="shared" si="1"/>
        <v>5-SEP</v>
      </c>
      <c r="E10" s="12" t="s">
        <v>105</v>
      </c>
      <c r="F10" s="5" t="s">
        <v>44</v>
      </c>
      <c r="G10" s="15" t="str">
        <f t="shared" si="2"/>
        <v>Tablet</v>
      </c>
      <c r="H10" s="5" t="s">
        <v>45</v>
      </c>
      <c r="I10" s="12" t="str">
        <f t="shared" si="3"/>
        <v>Tablet Apple</v>
      </c>
      <c r="J10" s="20">
        <f t="shared" si="4"/>
        <v>500</v>
      </c>
      <c r="K10" s="5">
        <v>500</v>
      </c>
      <c r="L10" s="5">
        <v>50</v>
      </c>
      <c r="M10" s="12" t="str">
        <f t="shared" si="5"/>
        <v>Electronics</v>
      </c>
      <c r="N10" s="5" t="s">
        <v>27</v>
      </c>
      <c r="Q10" s="9" t="s">
        <v>123</v>
      </c>
    </row>
    <row r="11" spans="1:24" ht="15.75" customHeight="1" x14ac:dyDescent="0.25">
      <c r="A11" t="str">
        <f t="shared" si="0"/>
        <v>14-OCT-UK</v>
      </c>
      <c r="B11" s="8">
        <v>14</v>
      </c>
      <c r="C11" s="8" t="s">
        <v>109</v>
      </c>
      <c r="D11" s="21" t="str">
        <f t="shared" si="1"/>
        <v>14-OCT</v>
      </c>
      <c r="E11" s="18" t="s">
        <v>105</v>
      </c>
      <c r="F11" s="8" t="s">
        <v>46</v>
      </c>
      <c r="G11" s="15" t="str">
        <f>PROPER(F11)</f>
        <v>Hiking Boots</v>
      </c>
      <c r="H11" s="8" t="s">
        <v>47</v>
      </c>
      <c r="I11" s="12" t="str">
        <f t="shared" si="3"/>
        <v>Hiking Boots Timberland</v>
      </c>
      <c r="J11" s="20">
        <f t="shared" si="4"/>
        <v>130</v>
      </c>
      <c r="K11" s="8">
        <v>130</v>
      </c>
      <c r="L11" s="8">
        <v>10</v>
      </c>
      <c r="M11" s="12" t="str">
        <f t="shared" si="5"/>
        <v>Outdoor</v>
      </c>
      <c r="N11" s="8" t="s">
        <v>48</v>
      </c>
      <c r="Q11" s="10" t="s">
        <v>124</v>
      </c>
    </row>
    <row r="12" spans="1:24" ht="15.75" customHeight="1" x14ac:dyDescent="0.25">
      <c r="A12" t="str">
        <f t="shared" si="0"/>
        <v>17-JUN-IN</v>
      </c>
      <c r="B12" s="5">
        <v>17</v>
      </c>
      <c r="C12" s="5" t="s">
        <v>104</v>
      </c>
      <c r="D12" s="21" t="str">
        <f t="shared" si="1"/>
        <v>17-JUN</v>
      </c>
      <c r="E12" s="12" t="s">
        <v>110</v>
      </c>
      <c r="F12" s="5" t="s">
        <v>49</v>
      </c>
      <c r="G12" s="15" t="str">
        <f t="shared" si="2"/>
        <v>Laptop</v>
      </c>
      <c r="H12" s="5" t="s">
        <v>50</v>
      </c>
      <c r="I12" s="12" t="str">
        <f t="shared" si="3"/>
        <v>Laptop HP</v>
      </c>
      <c r="J12" s="20">
        <f t="shared" si="4"/>
        <v>950</v>
      </c>
      <c r="K12" s="5">
        <v>950</v>
      </c>
      <c r="L12" s="5">
        <v>25</v>
      </c>
      <c r="M12" s="12" t="str">
        <f t="shared" si="5"/>
        <v>Electronics</v>
      </c>
      <c r="N12" s="5" t="s">
        <v>27</v>
      </c>
      <c r="Q12" s="10" t="s">
        <v>125</v>
      </c>
    </row>
    <row r="13" spans="1:24" ht="15.75" customHeight="1" x14ac:dyDescent="0.25">
      <c r="A13" t="str">
        <f t="shared" si="0"/>
        <v>25-NOV-AU</v>
      </c>
      <c r="B13" s="8">
        <v>25</v>
      </c>
      <c r="C13" s="8" t="s">
        <v>111</v>
      </c>
      <c r="D13" s="21" t="str">
        <f t="shared" si="1"/>
        <v>25-NOV</v>
      </c>
      <c r="E13" s="18" t="s">
        <v>112</v>
      </c>
      <c r="F13" s="8" t="s">
        <v>28</v>
      </c>
      <c r="G13" s="15" t="str">
        <f t="shared" si="2"/>
        <v>Sneakers</v>
      </c>
      <c r="H13" s="8" t="s">
        <v>41</v>
      </c>
      <c r="I13" s="12" t="str">
        <f t="shared" si="3"/>
        <v>Sneakers Adidas</v>
      </c>
      <c r="J13" s="20">
        <f t="shared" si="4"/>
        <v>90</v>
      </c>
      <c r="K13" s="8">
        <v>90</v>
      </c>
      <c r="L13" s="8">
        <v>40</v>
      </c>
      <c r="M13" s="12" t="str">
        <f t="shared" si="5"/>
        <v>Unknown</v>
      </c>
      <c r="N13" s="8"/>
      <c r="Q13" s="9" t="s">
        <v>126</v>
      </c>
    </row>
    <row r="14" spans="1:24" ht="15.75" customHeight="1" x14ac:dyDescent="0.25">
      <c r="A14" t="str">
        <f t="shared" si="0"/>
        <v>8-DEC-DE</v>
      </c>
      <c r="B14" s="5">
        <v>8</v>
      </c>
      <c r="C14" s="5" t="s">
        <v>113</v>
      </c>
      <c r="D14" s="21" t="str">
        <f t="shared" si="1"/>
        <v>8-DEC</v>
      </c>
      <c r="E14" s="12" t="s">
        <v>114</v>
      </c>
      <c r="F14" s="5" t="s">
        <v>31</v>
      </c>
      <c r="G14" s="15" t="str">
        <f t="shared" si="2"/>
        <v>Coffee Maker</v>
      </c>
      <c r="H14" s="5" t="s">
        <v>51</v>
      </c>
      <c r="I14" s="12" t="str">
        <f t="shared" si="3"/>
        <v>Coffee Maker Nespresso</v>
      </c>
      <c r="J14" s="20">
        <f t="shared" si="4"/>
        <v>120</v>
      </c>
      <c r="K14" s="5">
        <v>120</v>
      </c>
      <c r="L14" s="5">
        <v>35</v>
      </c>
      <c r="M14" s="12" t="str">
        <f t="shared" si="5"/>
        <v>Unknown</v>
      </c>
      <c r="N14" s="5"/>
      <c r="Q14" s="9" t="s">
        <v>127</v>
      </c>
    </row>
    <row r="15" spans="1:24" ht="15.75" customHeight="1" x14ac:dyDescent="0.3">
      <c r="A15" t="str">
        <f t="shared" si="0"/>
        <v>18-FEB-CA</v>
      </c>
      <c r="B15" s="8">
        <v>18</v>
      </c>
      <c r="C15" s="8" t="s">
        <v>100</v>
      </c>
      <c r="D15" s="21" t="str">
        <f t="shared" si="1"/>
        <v>18-FEB</v>
      </c>
      <c r="E15" s="18" t="s">
        <v>115</v>
      </c>
      <c r="F15" s="8" t="s">
        <v>52</v>
      </c>
      <c r="G15" s="15" t="str">
        <f t="shared" si="2"/>
        <v>Smartwatch</v>
      </c>
      <c r="H15" s="8" t="s">
        <v>53</v>
      </c>
      <c r="I15" s="12" t="str">
        <f t="shared" si="3"/>
        <v>Smartwatch Fitbit</v>
      </c>
      <c r="J15" s="20">
        <f t="shared" si="4"/>
        <v>150</v>
      </c>
      <c r="K15" s="8">
        <v>150</v>
      </c>
      <c r="L15" s="8">
        <v>15</v>
      </c>
      <c r="M15" s="12" t="str">
        <f t="shared" si="5"/>
        <v>Electronics</v>
      </c>
      <c r="N15" s="8" t="s">
        <v>27</v>
      </c>
      <c r="Q15" s="9" t="s">
        <v>128</v>
      </c>
      <c r="R15" s="3"/>
    </row>
    <row r="16" spans="1:24" ht="15.75" customHeight="1" x14ac:dyDescent="0.25">
      <c r="A16" t="str">
        <f t="shared" si="0"/>
        <v>16-APR-ES</v>
      </c>
      <c r="B16" s="5">
        <v>16</v>
      </c>
      <c r="C16" s="5" t="s">
        <v>102</v>
      </c>
      <c r="D16" s="21" t="str">
        <f t="shared" si="1"/>
        <v>16-APR</v>
      </c>
      <c r="E16" s="12" t="s">
        <v>116</v>
      </c>
      <c r="F16" s="5" t="s">
        <v>54</v>
      </c>
      <c r="G16" s="15" t="str">
        <f t="shared" si="2"/>
        <v>Headphones</v>
      </c>
      <c r="H16" s="5" t="s">
        <v>55</v>
      </c>
      <c r="I16" s="12" t="str">
        <f t="shared" si="3"/>
        <v>Headphones Bose</v>
      </c>
      <c r="J16" s="20">
        <f t="shared" si="4"/>
        <v>250</v>
      </c>
      <c r="K16" s="5">
        <v>250</v>
      </c>
      <c r="L16" s="5">
        <v>20</v>
      </c>
      <c r="M16" s="12" t="str">
        <f t="shared" si="5"/>
        <v>Electronics</v>
      </c>
      <c r="N16" s="5" t="s">
        <v>27</v>
      </c>
      <c r="Q16" s="9" t="s">
        <v>129</v>
      </c>
    </row>
    <row r="17" spans="1:17" ht="15.75" customHeight="1" x14ac:dyDescent="0.25">
      <c r="A17" t="str">
        <f t="shared" si="0"/>
        <v>21-AUG-CA</v>
      </c>
      <c r="B17" s="8">
        <v>21</v>
      </c>
      <c r="C17" s="8" t="s">
        <v>107</v>
      </c>
      <c r="D17" s="21" t="str">
        <f t="shared" si="1"/>
        <v>21-AUG</v>
      </c>
      <c r="E17" s="18" t="s">
        <v>115</v>
      </c>
      <c r="F17" s="8" t="s">
        <v>56</v>
      </c>
      <c r="G17" s="15" t="str">
        <f t="shared" si="2"/>
        <v>Laptop Bag</v>
      </c>
      <c r="H17" s="8" t="s">
        <v>57</v>
      </c>
      <c r="I17" s="12" t="str">
        <f t="shared" si="3"/>
        <v>Laptop Bag Samsonite</v>
      </c>
      <c r="J17" s="20">
        <f t="shared" si="4"/>
        <v>50</v>
      </c>
      <c r="K17" s="8">
        <v>50</v>
      </c>
      <c r="L17" s="8">
        <v>35</v>
      </c>
      <c r="M17" s="12" t="str">
        <f t="shared" si="5"/>
        <v>Accessories</v>
      </c>
      <c r="N17" s="8" t="s">
        <v>58</v>
      </c>
      <c r="Q17" s="9" t="s">
        <v>130</v>
      </c>
    </row>
    <row r="18" spans="1:17" ht="15.75" customHeight="1" x14ac:dyDescent="0.25">
      <c r="A18" t="str">
        <f t="shared" si="0"/>
        <v>20-AUG-CN</v>
      </c>
      <c r="B18" s="5">
        <v>20</v>
      </c>
      <c r="C18" s="5" t="s">
        <v>107</v>
      </c>
      <c r="D18" s="21" t="str">
        <f t="shared" si="1"/>
        <v>20-AUG</v>
      </c>
      <c r="E18" s="12" t="s">
        <v>117</v>
      </c>
      <c r="F18" s="5" t="s">
        <v>52</v>
      </c>
      <c r="G18" s="15" t="str">
        <f t="shared" si="2"/>
        <v>Smartwatch</v>
      </c>
      <c r="H18" s="5" t="s">
        <v>59</v>
      </c>
      <c r="I18" s="12" t="str">
        <f t="shared" si="3"/>
        <v>Smartwatch Huawei</v>
      </c>
      <c r="J18" s="20">
        <f t="shared" si="4"/>
        <v>160</v>
      </c>
      <c r="K18" s="5">
        <v>160</v>
      </c>
      <c r="L18" s="5">
        <v>15</v>
      </c>
      <c r="M18" s="12" t="str">
        <f t="shared" si="5"/>
        <v>Electronics</v>
      </c>
      <c r="N18" s="5" t="s">
        <v>27</v>
      </c>
      <c r="Q18" s="9" t="s">
        <v>131</v>
      </c>
    </row>
    <row r="19" spans="1:17" ht="15.75" customHeight="1" x14ac:dyDescent="0.25">
      <c r="A19" t="str">
        <f t="shared" si="0"/>
        <v>27-JAN-IT</v>
      </c>
      <c r="B19" s="8">
        <v>27</v>
      </c>
      <c r="C19" s="8" t="s">
        <v>98</v>
      </c>
      <c r="D19" s="21" t="str">
        <f t="shared" si="1"/>
        <v>27-JAN</v>
      </c>
      <c r="E19" s="18" t="s">
        <v>118</v>
      </c>
      <c r="F19" s="8" t="s">
        <v>25</v>
      </c>
      <c r="G19" s="15" t="str">
        <f t="shared" si="2"/>
        <v>Laptop</v>
      </c>
      <c r="H19" s="8" t="s">
        <v>60</v>
      </c>
      <c r="I19" s="12" t="str">
        <f t="shared" si="3"/>
        <v>Laptop Asus</v>
      </c>
      <c r="J19" s="20">
        <f t="shared" si="4"/>
        <v>980</v>
      </c>
      <c r="K19" s="8">
        <v>980</v>
      </c>
      <c r="L19" s="8">
        <v>10</v>
      </c>
      <c r="M19" s="12" t="str">
        <f t="shared" si="5"/>
        <v>Electronics</v>
      </c>
      <c r="N19" s="8" t="s">
        <v>27</v>
      </c>
    </row>
    <row r="20" spans="1:17" ht="15.75" customHeight="1" x14ac:dyDescent="0.25">
      <c r="A20" t="str">
        <f t="shared" si="0"/>
        <v>1-MAR-UK</v>
      </c>
      <c r="B20" s="5">
        <v>1</v>
      </c>
      <c r="C20" s="5" t="s">
        <v>101</v>
      </c>
      <c r="D20" s="21" t="str">
        <f t="shared" si="1"/>
        <v>1-MAR</v>
      </c>
      <c r="E20" s="12" t="s">
        <v>105</v>
      </c>
      <c r="F20" s="5" t="s">
        <v>61</v>
      </c>
      <c r="G20" s="15" t="str">
        <f t="shared" si="2"/>
        <v>Sunglasses</v>
      </c>
      <c r="H20" s="5" t="s">
        <v>62</v>
      </c>
      <c r="I20" s="12" t="str">
        <f t="shared" si="3"/>
        <v>Sunglasses Oakley</v>
      </c>
      <c r="J20" s="20">
        <f t="shared" si="4"/>
        <v>150</v>
      </c>
      <c r="K20" s="5">
        <v>150</v>
      </c>
      <c r="L20" s="5">
        <v>15</v>
      </c>
      <c r="M20" s="12" t="str">
        <f t="shared" si="5"/>
        <v>Fashion</v>
      </c>
      <c r="N20" s="5" t="s">
        <v>30</v>
      </c>
    </row>
    <row r="21" spans="1:17" ht="15.75" customHeight="1" x14ac:dyDescent="0.25">
      <c r="A21" t="str">
        <f t="shared" si="0"/>
        <v>14-AUG-US</v>
      </c>
      <c r="B21" s="8">
        <v>14</v>
      </c>
      <c r="C21" s="8" t="s">
        <v>107</v>
      </c>
      <c r="D21" s="21" t="str">
        <f t="shared" si="1"/>
        <v>14-AUG</v>
      </c>
      <c r="E21" s="18" t="s">
        <v>99</v>
      </c>
      <c r="F21" s="8" t="s">
        <v>63</v>
      </c>
      <c r="G21" s="15" t="str">
        <f t="shared" si="2"/>
        <v>Camping Tent</v>
      </c>
      <c r="H21" s="8" t="s">
        <v>64</v>
      </c>
      <c r="I21" s="12" t="str">
        <f t="shared" si="3"/>
        <v>Camping Tent Coleman</v>
      </c>
      <c r="J21" s="20">
        <f t="shared" si="4"/>
        <v>297.85714285714283</v>
      </c>
      <c r="K21" s="8"/>
      <c r="L21" s="8">
        <v>10</v>
      </c>
      <c r="M21" s="12" t="str">
        <f t="shared" si="5"/>
        <v>Outdoor</v>
      </c>
      <c r="N21" s="8" t="s">
        <v>48</v>
      </c>
    </row>
    <row r="22" spans="1:17" ht="15.75" customHeight="1" x14ac:dyDescent="0.25">
      <c r="A22" t="str">
        <f t="shared" si="0"/>
        <v>14-MAY-RU</v>
      </c>
      <c r="B22" s="5">
        <v>14</v>
      </c>
      <c r="C22" s="5" t="s">
        <v>103</v>
      </c>
      <c r="D22" s="21" t="str">
        <f t="shared" si="1"/>
        <v>14-MAY</v>
      </c>
      <c r="E22" s="12" t="s">
        <v>119</v>
      </c>
      <c r="F22" s="5" t="s">
        <v>65</v>
      </c>
      <c r="G22" s="15" t="str">
        <f t="shared" si="2"/>
        <v>Camera</v>
      </c>
      <c r="H22" s="5" t="s">
        <v>66</v>
      </c>
      <c r="I22" s="12" t="str">
        <f t="shared" si="3"/>
        <v>Camera Nikon</v>
      </c>
      <c r="J22" s="20">
        <f t="shared" si="4"/>
        <v>700</v>
      </c>
      <c r="K22" s="5">
        <v>700</v>
      </c>
      <c r="L22" s="5">
        <v>50</v>
      </c>
      <c r="M22" s="12" t="str">
        <f t="shared" si="5"/>
        <v>Electronics</v>
      </c>
      <c r="N22" s="5" t="s">
        <v>27</v>
      </c>
    </row>
    <row r="23" spans="1:17" ht="15.75" customHeight="1" x14ac:dyDescent="0.25">
      <c r="A23" t="str">
        <f t="shared" si="0"/>
        <v>9-JAN-CA</v>
      </c>
      <c r="B23" s="8">
        <v>9</v>
      </c>
      <c r="C23" s="8" t="s">
        <v>98</v>
      </c>
      <c r="D23" s="21" t="str">
        <f t="shared" si="1"/>
        <v>9-JAN</v>
      </c>
      <c r="E23" s="18" t="s">
        <v>115</v>
      </c>
      <c r="F23" s="8" t="s">
        <v>67</v>
      </c>
      <c r="G23" s="15" t="str">
        <f t="shared" si="2"/>
        <v>Microwave</v>
      </c>
      <c r="H23" s="8" t="s">
        <v>68</v>
      </c>
      <c r="I23" s="12" t="str">
        <f t="shared" si="3"/>
        <v>Microwave Panasonic</v>
      </c>
      <c r="J23" s="20">
        <f t="shared" si="4"/>
        <v>80</v>
      </c>
      <c r="K23" s="8">
        <v>80</v>
      </c>
      <c r="L23" s="8">
        <v>20</v>
      </c>
      <c r="M23" s="12" t="str">
        <f t="shared" si="5"/>
        <v>Kitchen</v>
      </c>
      <c r="N23" s="8" t="s">
        <v>33</v>
      </c>
    </row>
    <row r="24" spans="1:17" ht="15.75" customHeight="1" x14ac:dyDescent="0.25">
      <c r="A24" t="str">
        <f t="shared" si="0"/>
        <v>19-JUL-BR</v>
      </c>
      <c r="B24" s="5">
        <v>19</v>
      </c>
      <c r="C24" s="5" t="s">
        <v>106</v>
      </c>
      <c r="D24" s="21" t="str">
        <f t="shared" si="1"/>
        <v>19-JUL</v>
      </c>
      <c r="E24" s="12" t="s">
        <v>120</v>
      </c>
      <c r="F24" s="5" t="s">
        <v>69</v>
      </c>
      <c r="G24" s="15" t="str">
        <f t="shared" si="2"/>
        <v>Fitness Tracker</v>
      </c>
      <c r="H24" s="5" t="s">
        <v>70</v>
      </c>
      <c r="I24" s="12" t="str">
        <f t="shared" si="3"/>
        <v>Fitness Tracker Xiaomi</v>
      </c>
      <c r="J24" s="20">
        <f t="shared" si="4"/>
        <v>150</v>
      </c>
      <c r="K24" s="5">
        <v>150</v>
      </c>
      <c r="L24" s="5">
        <v>30</v>
      </c>
      <c r="M24" s="12" t="str">
        <f t="shared" si="5"/>
        <v>Unknown</v>
      </c>
      <c r="N24" s="5"/>
    </row>
    <row r="25" spans="1:17" ht="15.75" customHeight="1" x14ac:dyDescent="0.25">
      <c r="A25" t="str">
        <f t="shared" si="0"/>
        <v>29-SEP-CA</v>
      </c>
      <c r="B25" s="5">
        <v>29</v>
      </c>
      <c r="C25" s="5" t="s">
        <v>108</v>
      </c>
      <c r="D25" s="21" t="str">
        <f t="shared" si="1"/>
        <v>29-SEP</v>
      </c>
      <c r="E25" s="12" t="s">
        <v>115</v>
      </c>
      <c r="F25" s="5" t="s">
        <v>71</v>
      </c>
      <c r="G25" s="15" t="str">
        <f t="shared" si="2"/>
        <v>Smartphone</v>
      </c>
      <c r="H25" s="5" t="s">
        <v>72</v>
      </c>
      <c r="I25" s="12" t="str">
        <f t="shared" si="3"/>
        <v>Smartphone Google</v>
      </c>
      <c r="J25" s="20">
        <f t="shared" si="4"/>
        <v>800</v>
      </c>
      <c r="K25" s="5">
        <v>800</v>
      </c>
      <c r="L25" s="5">
        <v>45</v>
      </c>
      <c r="M25" s="12" t="str">
        <f t="shared" si="5"/>
        <v>Electronics</v>
      </c>
      <c r="N25" s="5" t="s">
        <v>27</v>
      </c>
    </row>
    <row r="26" spans="1:17" ht="15.75" customHeight="1" x14ac:dyDescent="0.25">
      <c r="A26" t="str">
        <f t="shared" si="0"/>
        <v>3-JUN-CA</v>
      </c>
      <c r="B26" s="8">
        <v>3</v>
      </c>
      <c r="C26" s="8" t="s">
        <v>104</v>
      </c>
      <c r="D26" s="21" t="str">
        <f t="shared" si="1"/>
        <v>3-JUN</v>
      </c>
      <c r="E26" s="18" t="s">
        <v>115</v>
      </c>
      <c r="F26" s="8" t="s">
        <v>61</v>
      </c>
      <c r="G26" s="15" t="str">
        <f t="shared" si="2"/>
        <v>Sunglasses</v>
      </c>
      <c r="H26" s="8" t="s">
        <v>73</v>
      </c>
      <c r="I26" s="12" t="str">
        <f t="shared" si="3"/>
        <v>Sunglasses Ray-Ban</v>
      </c>
      <c r="J26" s="20">
        <f t="shared" si="4"/>
        <v>297.85714285714283</v>
      </c>
      <c r="K26" s="8"/>
      <c r="L26" s="8">
        <v>25</v>
      </c>
      <c r="M26" s="12" t="str">
        <f t="shared" si="5"/>
        <v>Fashion</v>
      </c>
      <c r="N26" s="8" t="s">
        <v>30</v>
      </c>
    </row>
    <row r="27" spans="1:17" ht="15.75" customHeight="1" x14ac:dyDescent="0.25">
      <c r="A27" t="str">
        <f t="shared" si="0"/>
        <v>11-JUL-CA</v>
      </c>
      <c r="B27" s="5">
        <v>11</v>
      </c>
      <c r="C27" s="5" t="s">
        <v>106</v>
      </c>
      <c r="D27" s="21" t="str">
        <f t="shared" si="1"/>
        <v>11-JUL</v>
      </c>
      <c r="E27" s="12" t="s">
        <v>115</v>
      </c>
      <c r="F27" s="5" t="s">
        <v>42</v>
      </c>
      <c r="G27" s="15" t="str">
        <f t="shared" si="2"/>
        <v>Blender</v>
      </c>
      <c r="H27" s="5" t="s">
        <v>74</v>
      </c>
      <c r="I27" s="12" t="str">
        <f t="shared" si="3"/>
        <v>Blender Vitamix</v>
      </c>
      <c r="J27" s="20">
        <f t="shared" si="4"/>
        <v>400</v>
      </c>
      <c r="K27" s="5">
        <v>400</v>
      </c>
      <c r="L27" s="5">
        <v>40</v>
      </c>
      <c r="M27" s="12" t="str">
        <f t="shared" si="5"/>
        <v>Kitchen</v>
      </c>
      <c r="N27" s="5" t="s">
        <v>33</v>
      </c>
    </row>
    <row r="28" spans="1:17" ht="15.75" customHeight="1" x14ac:dyDescent="0.25">
      <c r="A28" t="str">
        <f t="shared" si="0"/>
        <v>7-MAR-CA</v>
      </c>
      <c r="B28" s="5">
        <v>7</v>
      </c>
      <c r="C28" s="5" t="s">
        <v>101</v>
      </c>
      <c r="D28" s="21" t="str">
        <f t="shared" si="1"/>
        <v>7-MAR</v>
      </c>
      <c r="E28" s="12" t="s">
        <v>115</v>
      </c>
      <c r="F28" s="5" t="s">
        <v>75</v>
      </c>
      <c r="G28" s="15" t="str">
        <f t="shared" si="2"/>
        <v>Dress</v>
      </c>
      <c r="H28" s="5" t="s">
        <v>76</v>
      </c>
      <c r="I28" s="12" t="str">
        <f t="shared" si="3"/>
        <v>Dress Zara</v>
      </c>
      <c r="J28" s="20">
        <f t="shared" si="4"/>
        <v>60</v>
      </c>
      <c r="K28" s="5">
        <v>60</v>
      </c>
      <c r="L28" s="5">
        <v>30</v>
      </c>
      <c r="M28" s="12" t="str">
        <f t="shared" si="5"/>
        <v>Fashion</v>
      </c>
      <c r="N28" s="5" t="s">
        <v>30</v>
      </c>
    </row>
    <row r="29" spans="1:17" ht="15.75" customHeight="1" x14ac:dyDescent="0.25">
      <c r="A29" t="str">
        <f t="shared" si="0"/>
        <v>13-APR-CA</v>
      </c>
      <c r="B29" s="8">
        <v>13</v>
      </c>
      <c r="C29" s="8" t="s">
        <v>102</v>
      </c>
      <c r="D29" s="21" t="str">
        <f t="shared" si="1"/>
        <v>13-APR</v>
      </c>
      <c r="E29" s="18" t="s">
        <v>115</v>
      </c>
      <c r="F29" s="8" t="s">
        <v>77</v>
      </c>
      <c r="G29" s="15" t="str">
        <f t="shared" si="2"/>
        <v>Toaster</v>
      </c>
      <c r="H29" s="8" t="s">
        <v>78</v>
      </c>
      <c r="I29" s="12" t="str">
        <f t="shared" si="3"/>
        <v>Toaster Hamilton</v>
      </c>
      <c r="J29" s="20">
        <f t="shared" si="4"/>
        <v>40</v>
      </c>
      <c r="K29" s="8">
        <v>40</v>
      </c>
      <c r="L29" s="8">
        <v>10</v>
      </c>
      <c r="M29" s="12" t="str">
        <f t="shared" si="5"/>
        <v>Kitchen</v>
      </c>
      <c r="N29" s="8" t="s">
        <v>33</v>
      </c>
    </row>
    <row r="30" spans="1:17" ht="15.75" customHeight="1" x14ac:dyDescent="0.25">
      <c r="A30" t="str">
        <f t="shared" si="0"/>
        <v>24-MAY-CA</v>
      </c>
      <c r="B30" s="5">
        <v>24</v>
      </c>
      <c r="C30" s="5" t="s">
        <v>103</v>
      </c>
      <c r="D30" s="21" t="str">
        <f t="shared" si="1"/>
        <v>24-MAY</v>
      </c>
      <c r="E30" s="12" t="s">
        <v>115</v>
      </c>
      <c r="F30" s="5" t="s">
        <v>69</v>
      </c>
      <c r="G30" s="15" t="str">
        <f t="shared" si="2"/>
        <v>Fitness Tracker</v>
      </c>
      <c r="H30" s="5" t="s">
        <v>79</v>
      </c>
      <c r="I30" s="12" t="str">
        <f t="shared" si="3"/>
        <v>Fitness Tracker Garmin</v>
      </c>
      <c r="J30" s="20">
        <f t="shared" si="4"/>
        <v>130</v>
      </c>
      <c r="K30" s="5">
        <v>130</v>
      </c>
      <c r="L30" s="5">
        <v>5</v>
      </c>
      <c r="M30" s="12" t="str">
        <f t="shared" si="5"/>
        <v>Electronics</v>
      </c>
      <c r="N30" s="5" t="s">
        <v>27</v>
      </c>
    </row>
    <row r="31" spans="1:17" ht="15.75" customHeight="1" x14ac:dyDescent="0.25">
      <c r="A31" t="str">
        <f t="shared" si="0"/>
        <v>2-DEC-CA</v>
      </c>
      <c r="B31" s="8">
        <v>2</v>
      </c>
      <c r="C31" s="8" t="s">
        <v>113</v>
      </c>
      <c r="D31" s="21" t="str">
        <f t="shared" si="1"/>
        <v>2-DEC</v>
      </c>
      <c r="E31" s="18" t="s">
        <v>115</v>
      </c>
      <c r="F31" s="8" t="s">
        <v>80</v>
      </c>
      <c r="G31" s="15" t="str">
        <f t="shared" si="2"/>
        <v>Jeans</v>
      </c>
      <c r="H31" s="8" t="s">
        <v>81</v>
      </c>
      <c r="I31" s="12" t="str">
        <f t="shared" si="3"/>
        <v>Jeans Levi's</v>
      </c>
      <c r="J31" s="20">
        <f t="shared" si="4"/>
        <v>50</v>
      </c>
      <c r="K31" s="8">
        <v>50</v>
      </c>
      <c r="L31" s="8">
        <v>50</v>
      </c>
      <c r="M31" s="12" t="str">
        <f t="shared" si="5"/>
        <v>Fashion</v>
      </c>
      <c r="N31" s="8" t="s">
        <v>30</v>
      </c>
    </row>
    <row r="32" spans="1:17" ht="15.75" customHeight="1" x14ac:dyDescent="0.25">
      <c r="A32" t="str">
        <f t="shared" si="0"/>
        <v>9-JUL-FR</v>
      </c>
      <c r="B32" s="8">
        <v>9</v>
      </c>
      <c r="C32" s="8" t="s">
        <v>106</v>
      </c>
      <c r="D32" s="21" t="str">
        <f t="shared" si="1"/>
        <v>9-JUL</v>
      </c>
      <c r="E32" s="18" t="s">
        <v>121</v>
      </c>
      <c r="F32" s="8" t="s">
        <v>82</v>
      </c>
      <c r="G32" s="15" t="str">
        <f t="shared" si="2"/>
        <v>Watch</v>
      </c>
      <c r="H32" s="8" t="s">
        <v>83</v>
      </c>
      <c r="I32" s="12" t="str">
        <f t="shared" si="3"/>
        <v>Watch Casio</v>
      </c>
      <c r="J32" s="20">
        <f t="shared" si="4"/>
        <v>100</v>
      </c>
      <c r="K32" s="8">
        <v>100</v>
      </c>
      <c r="L32" s="8">
        <v>20</v>
      </c>
      <c r="M32" s="12" t="str">
        <f t="shared" si="5"/>
        <v>Accessories</v>
      </c>
      <c r="N32" s="8" t="s">
        <v>58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Q1:R1"/>
  </mergeCells>
  <conditionalFormatting sqref="J2:J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{6FA01C8F-9AAB-4BFF-8969-FD283BABAF12}</x14:id>
        </ext>
      </extLst>
    </cfRule>
    <cfRule type="colorScale" priority="4">
      <colorScale>
        <cfvo type="min"/>
        <cfvo type="percentile" val="50"/>
        <cfvo type="max"/>
        <color theme="4" tint="0.39997558519241921"/>
        <color theme="4" tint="-0.249977111117893"/>
        <color theme="4" tint="-0.499984740745262"/>
      </colorScale>
    </cfRule>
    <cfRule type="colorScale" priority="3">
      <colorScale>
        <cfvo type="min"/>
        <cfvo type="percentile" val="50"/>
        <cfvo type="max"/>
        <color theme="9" tint="0.59999389629810485"/>
        <color theme="9" tint="0.39997558519241921"/>
        <color theme="9" tint="-0.249977111117893"/>
      </colorScale>
    </cfRule>
  </conditionalFormatting>
  <conditionalFormatting sqref="M2:M32">
    <cfRule type="containsText" dxfId="0" priority="2" operator="containsText" text="Electrinics">
      <formula>NOT(ISERROR(SEARCH("Electrinics",M2)))</formula>
    </cfRule>
    <cfRule type="containsText" dxfId="1" priority="1" operator="containsText" text="Electronics">
      <formula>NOT(ISERROR(SEARCH("Electronics",M2)))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A01C8F-9AAB-4BFF-8969-FD283BABAF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4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Babitha P K</cp:lastModifiedBy>
  <dcterms:modified xsi:type="dcterms:W3CDTF">2026-10-30T07:49:15Z</dcterms:modified>
</cp:coreProperties>
</file>