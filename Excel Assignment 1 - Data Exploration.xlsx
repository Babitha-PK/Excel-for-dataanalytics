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5DE77A0-D09F-4BCC-996B-AA5C9B07BC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16" i="2"/>
  <c r="L1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10" i="2"/>
  <c r="L9" i="2"/>
  <c r="L6" i="2"/>
  <c r="L5" i="2"/>
  <c r="L4" i="2"/>
</calcChain>
</file>

<file path=xl/sharedStrings.xml><?xml version="1.0" encoding="utf-8"?>
<sst xmlns="http://schemas.openxmlformats.org/spreadsheetml/2006/main" count="174" uniqueCount="125">
  <si>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</si>
  <si>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</si>
  <si>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</si>
  <si>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</si>
  <si>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</si>
  <si>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</si>
  <si>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</si>
  <si>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</si>
  <si>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</si>
  <si>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</si>
  <si>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</si>
  <si>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</si>
  <si>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</si>
  <si>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</si>
  <si>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</si>
  <si>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</si>
  <si>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</si>
  <si>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</si>
  <si>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</si>
  <si>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</si>
  <si>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</si>
  <si>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</si>
  <si>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</si>
  <si>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</si>
  <si>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</si>
  <si>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</si>
  <si>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</si>
  <si>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</si>
  <si>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</si>
  <si>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</si>
  <si>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</si>
  <si>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</si>
  <si>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</si>
  <si>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</si>
  <si>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</si>
  <si>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</si>
  <si>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</si>
  <si>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</si>
  <si>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</si>
  <si>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</si>
  <si>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</si>
  <si>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</si>
  <si>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</si>
  <si>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</si>
  <si>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</si>
  <si>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</si>
  <si>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</si>
  <si>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</si>
  <si>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</si>
  <si>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</si>
  <si>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</si>
  <si>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</si>
  <si>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</si>
  <si>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</si>
  <si>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</si>
  <si>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</si>
  <si>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</si>
  <si>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</si>
  <si>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</si>
  <si>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</si>
  <si>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</si>
  <si>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</si>
  <si>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</si>
  <si>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</si>
  <si>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</si>
  <si>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</si>
  <si>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</si>
  <si>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</si>
  <si>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</si>
  <si>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</si>
  <si>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</si>
  <si>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</si>
  <si>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</si>
  <si>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</si>
  <si>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</si>
  <si>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</si>
  <si>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</si>
  <si>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</si>
  <si>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</si>
  <si>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</si>
  <si>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</si>
  <si>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</si>
  <si>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</si>
  <si>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</si>
  <si>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</si>
  <si>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</si>
  <si>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</si>
  <si>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</si>
  <si>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</si>
  <si>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</si>
  <si>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</si>
  <si>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</si>
  <si>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</si>
  <si>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</si>
  <si>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</si>
  <si>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</si>
  <si>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</si>
  <si>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</si>
  <si>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</si>
  <si>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</si>
  <si>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</si>
  <si>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</si>
  <si>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</si>
  <si>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</si>
  <si>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</si>
  <si>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</si>
  <si>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</si>
  <si>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</si>
  <si>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</si>
  <si>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</si>
  <si>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</si>
  <si>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No of products in the dataset</t>
  </si>
  <si>
    <t>Average price of products</t>
  </si>
  <si>
    <t>ASSAIGNMENT 1</t>
  </si>
  <si>
    <t>1. SUM, COUNT, AVERAGE</t>
  </si>
  <si>
    <t>2. MIN AND MAX</t>
  </si>
  <si>
    <t>Minimum price of all products</t>
  </si>
  <si>
    <t>Maximum price of all products</t>
  </si>
  <si>
    <t>Price Range</t>
  </si>
  <si>
    <t>4.SUMIF AND COUNTIF</t>
  </si>
  <si>
    <t>Sum of price in the electronics category</t>
  </si>
  <si>
    <t>Count of products having price less than 100$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</si>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</sst>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P11" sqref="P1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5" width="12.6640625" customWidth="1"/>
    <col min="7" max="7" width="13.33203125" bestFit="1" customWidth="1"/>
    <col min="11" max="11" width="24.5546875" bestFit="1" customWidth="1"/>
  </cols>
  <sheetData>
    <row r="1" spans="1:12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118</v>
      </c>
      <c r="H1" s="9" t="s">
        <v>122</v>
      </c>
      <c r="I1" s="9" t="s">
        <v>123</v>
      </c>
      <c r="J1" s="9" t="s">
        <v>124</v>
      </c>
      <c r="K1" s="11" t="s">
        <v>113</v>
      </c>
    </row>
    <row r="2" spans="1:12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IF(D2&gt;500,"High Price","Standard Price")</f>
        <v>High Price</v>
      </c>
      <c r="H2" s="8" t="str">
        <f>LEFT(A2,2)</f>
        <v>28</v>
      </c>
      <c r="I2" s="8" t="str">
        <f>RIGHT(A2,2)</f>
        <v>US</v>
      </c>
      <c r="J2" s="8" t="str">
        <f>MID(A2,4,3)</f>
        <v>JAN</v>
      </c>
    </row>
    <row r="3" spans="1:12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IF(D3&gt;500,"High Price","Standard Price")</f>
        <v>Standard Price</v>
      </c>
      <c r="H3" s="8" t="str">
        <f t="shared" ref="H3:H35" si="1">LEFT(A3,2)</f>
        <v>15</v>
      </c>
      <c r="I3" s="8" t="str">
        <f t="shared" ref="I3:I35" si="2">RIGHT(A3,2)</f>
        <v>US</v>
      </c>
      <c r="J3" s="8" t="str">
        <f t="shared" ref="J3:J35" si="3">MID(A3,4,3)</f>
        <v>FEB</v>
      </c>
      <c r="K3" s="12" t="s">
        <v>114</v>
      </c>
      <c r="L3" s="13"/>
    </row>
    <row r="4" spans="1:12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8" t="str">
        <f t="shared" si="1"/>
        <v>03</v>
      </c>
      <c r="I4" s="8" t="str">
        <f t="shared" si="2"/>
        <v>US</v>
      </c>
      <c r="J4" s="8" t="str">
        <f t="shared" si="3"/>
        <v>MAR</v>
      </c>
      <c r="K4" s="13" t="s">
        <v>110</v>
      </c>
      <c r="L4" s="13">
        <f>SUM(D2:D35)</f>
        <v>10100</v>
      </c>
    </row>
    <row r="5" spans="1:12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s="8" t="str">
        <f t="shared" si="1"/>
        <v>11</v>
      </c>
      <c r="I5" s="8" t="str">
        <f t="shared" si="2"/>
        <v>US</v>
      </c>
      <c r="J5" s="8" t="str">
        <f t="shared" si="3"/>
        <v>APR</v>
      </c>
      <c r="K5" s="13" t="s">
        <v>111</v>
      </c>
      <c r="L5" s="13">
        <f>COUNT(E2:E35)</f>
        <v>34</v>
      </c>
    </row>
    <row r="6" spans="1:12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8" t="str">
        <f t="shared" si="1"/>
        <v>22</v>
      </c>
      <c r="I6" s="8" t="str">
        <f t="shared" si="2"/>
        <v>US</v>
      </c>
      <c r="J6" s="8" t="str">
        <f t="shared" si="3"/>
        <v>MAY</v>
      </c>
      <c r="K6" s="13" t="s">
        <v>112</v>
      </c>
      <c r="L6" s="14">
        <f>AVERAGE(D2:D35)</f>
        <v>297.05882352941177</v>
      </c>
    </row>
    <row r="7" spans="1:12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s="8" t="str">
        <f t="shared" si="1"/>
        <v>07</v>
      </c>
      <c r="I7" s="8" t="str">
        <f t="shared" si="2"/>
        <v>UK</v>
      </c>
      <c r="J7" s="8" t="str">
        <f t="shared" si="3"/>
        <v>JUN</v>
      </c>
      <c r="K7" s="13"/>
      <c r="L7" s="13"/>
    </row>
    <row r="8" spans="1:12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8" t="str">
        <f t="shared" si="1"/>
        <v>19</v>
      </c>
      <c r="I8" s="8" t="str">
        <f t="shared" si="2"/>
        <v>UK</v>
      </c>
      <c r="J8" s="8" t="str">
        <f t="shared" si="3"/>
        <v>JUL</v>
      </c>
      <c r="K8" s="12" t="s">
        <v>115</v>
      </c>
      <c r="L8" s="13"/>
    </row>
    <row r="9" spans="1:12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s="8" t="str">
        <f t="shared" si="1"/>
        <v>23</v>
      </c>
      <c r="I9" s="8" t="str">
        <f t="shared" si="2"/>
        <v>UK</v>
      </c>
      <c r="J9" s="8" t="str">
        <f t="shared" si="3"/>
        <v>AUG</v>
      </c>
      <c r="K9" s="15" t="s">
        <v>116</v>
      </c>
      <c r="L9" s="13">
        <f>MIN(D2:D35)</f>
        <v>30</v>
      </c>
    </row>
    <row r="10" spans="1:12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Standard Price</v>
      </c>
      <c r="H10" s="8" t="str">
        <f t="shared" si="1"/>
        <v>05</v>
      </c>
      <c r="I10" s="8" t="str">
        <f t="shared" si="2"/>
        <v>UK</v>
      </c>
      <c r="J10" s="8" t="str">
        <f t="shared" si="3"/>
        <v>SEP</v>
      </c>
      <c r="K10" s="15" t="s">
        <v>117</v>
      </c>
      <c r="L10" s="13">
        <f>MAX(D2:D35)</f>
        <v>1000</v>
      </c>
    </row>
    <row r="11" spans="1:12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s="8" t="str">
        <f t="shared" si="1"/>
        <v>14</v>
      </c>
      <c r="I11" s="8" t="str">
        <f t="shared" si="2"/>
        <v>UK</v>
      </c>
      <c r="J11" s="8" t="str">
        <f t="shared" si="3"/>
        <v>OCT</v>
      </c>
      <c r="K11" s="13"/>
      <c r="L11" s="13"/>
    </row>
    <row r="12" spans="1:12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8" t="str">
        <f t="shared" si="1"/>
        <v>17</v>
      </c>
      <c r="I12" s="8" t="str">
        <f t="shared" si="2"/>
        <v>IN</v>
      </c>
      <c r="J12" s="8" t="str">
        <f t="shared" si="3"/>
        <v>JUN</v>
      </c>
      <c r="K12" s="12" t="s">
        <v>119</v>
      </c>
      <c r="L12" s="13"/>
    </row>
    <row r="13" spans="1:12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s="8" t="str">
        <f t="shared" si="1"/>
        <v>25</v>
      </c>
      <c r="I13" s="8" t="str">
        <f t="shared" si="2"/>
        <v>AU</v>
      </c>
      <c r="J13" s="8" t="str">
        <f t="shared" si="3"/>
        <v>NOV</v>
      </c>
      <c r="K13" s="16" t="s">
        <v>120</v>
      </c>
      <c r="L13" s="17">
        <f>SUMIF(F2:F35,F2,D2:D35)</f>
        <v>8050</v>
      </c>
    </row>
    <row r="14" spans="1:12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8" t="str">
        <f t="shared" si="1"/>
        <v>08</v>
      </c>
      <c r="I14" s="8" t="str">
        <f t="shared" si="2"/>
        <v>DE</v>
      </c>
      <c r="J14" s="8" t="str">
        <f t="shared" si="3"/>
        <v>DEC</v>
      </c>
      <c r="K14" s="16"/>
      <c r="L14" s="17"/>
    </row>
    <row r="15" spans="1:12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s="8" t="str">
        <f t="shared" si="1"/>
        <v>18</v>
      </c>
      <c r="I15" s="8" t="str">
        <f t="shared" si="2"/>
        <v>CA</v>
      </c>
      <c r="J15" s="8" t="str">
        <f t="shared" si="3"/>
        <v>FEB</v>
      </c>
      <c r="K15" s="13"/>
      <c r="L15" s="13"/>
    </row>
    <row r="16" spans="1:12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8" t="str">
        <f t="shared" si="1"/>
        <v>16</v>
      </c>
      <c r="I16" s="8" t="str">
        <f t="shared" si="2"/>
        <v>ES</v>
      </c>
      <c r="J16" s="8" t="str">
        <f t="shared" si="3"/>
        <v>APR</v>
      </c>
      <c r="K16" s="16" t="s">
        <v>121</v>
      </c>
      <c r="L16" s="17">
        <f>COUNTIF(D2:D35,"&lt;100")</f>
        <v>11</v>
      </c>
    </row>
    <row r="17" spans="1:12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s="8" t="str">
        <f t="shared" si="1"/>
        <v>21</v>
      </c>
      <c r="I17" s="8" t="str">
        <f t="shared" si="2"/>
        <v>CA</v>
      </c>
      <c r="J17" s="8" t="str">
        <f t="shared" si="3"/>
        <v>AUG</v>
      </c>
      <c r="K17" s="16"/>
      <c r="L17" s="17"/>
    </row>
    <row r="18" spans="1:12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8" t="str">
        <f t="shared" si="1"/>
        <v>20</v>
      </c>
      <c r="I18" s="8" t="str">
        <f t="shared" si="2"/>
        <v>CN</v>
      </c>
      <c r="J18" s="8" t="str">
        <f t="shared" si="3"/>
        <v>AUG</v>
      </c>
    </row>
    <row r="19" spans="1:12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s="8" t="str">
        <f t="shared" si="1"/>
        <v>27</v>
      </c>
      <c r="I19" s="8" t="str">
        <f t="shared" si="2"/>
        <v>IT</v>
      </c>
      <c r="J19" s="8" t="str">
        <f t="shared" si="3"/>
        <v>JAN</v>
      </c>
    </row>
    <row r="20" spans="1:12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8" t="str">
        <f t="shared" si="1"/>
        <v>01</v>
      </c>
      <c r="I20" s="8" t="str">
        <f t="shared" si="2"/>
        <v>UK</v>
      </c>
      <c r="J20" s="8" t="str">
        <f t="shared" si="3"/>
        <v>MAR</v>
      </c>
    </row>
    <row r="21" spans="1:12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s="8" t="str">
        <f t="shared" si="1"/>
        <v>14</v>
      </c>
      <c r="I21" s="8" t="str">
        <f t="shared" si="2"/>
        <v>US</v>
      </c>
      <c r="J21" s="8" t="str">
        <f t="shared" si="3"/>
        <v>AUG</v>
      </c>
    </row>
    <row r="22" spans="1:12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8" t="str">
        <f t="shared" si="1"/>
        <v>14</v>
      </c>
      <c r="I22" s="8" t="str">
        <f t="shared" si="2"/>
        <v>RU</v>
      </c>
      <c r="J22" s="8" t="str">
        <f t="shared" si="3"/>
        <v>MAY</v>
      </c>
    </row>
    <row r="23" spans="1:12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s="8" t="str">
        <f t="shared" si="1"/>
        <v>09</v>
      </c>
      <c r="I23" s="8" t="str">
        <f t="shared" si="2"/>
        <v>CA</v>
      </c>
      <c r="J23" s="8" t="str">
        <f t="shared" si="3"/>
        <v>JAN</v>
      </c>
    </row>
    <row r="24" spans="1:12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8" t="str">
        <f t="shared" si="1"/>
        <v>19</v>
      </c>
      <c r="I24" s="8" t="str">
        <f t="shared" si="2"/>
        <v>BR</v>
      </c>
      <c r="J24" s="8" t="str">
        <f t="shared" si="3"/>
        <v>JUL</v>
      </c>
    </row>
    <row r="25" spans="1:12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s="8" t="str">
        <f t="shared" si="1"/>
        <v>21</v>
      </c>
      <c r="I25" s="8" t="str">
        <f t="shared" si="2"/>
        <v>CA</v>
      </c>
      <c r="J25" s="8" t="str">
        <f t="shared" si="3"/>
        <v>AUG</v>
      </c>
    </row>
    <row r="26" spans="1:12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8" t="str">
        <f t="shared" si="1"/>
        <v>29</v>
      </c>
      <c r="I26" s="8" t="str">
        <f t="shared" si="2"/>
        <v>CA</v>
      </c>
      <c r="J26" s="8" t="str">
        <f t="shared" si="3"/>
        <v>SEP</v>
      </c>
    </row>
    <row r="27" spans="1:12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s="8" t="str">
        <f t="shared" si="1"/>
        <v>03</v>
      </c>
      <c r="I27" s="8" t="str">
        <f t="shared" si="2"/>
        <v>CA</v>
      </c>
      <c r="J27" s="8" t="str">
        <f t="shared" si="3"/>
        <v>JUN</v>
      </c>
    </row>
    <row r="28" spans="1:12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8" t="str">
        <f t="shared" si="1"/>
        <v>11</v>
      </c>
      <c r="I28" s="8" t="str">
        <f t="shared" si="2"/>
        <v>CA</v>
      </c>
      <c r="J28" s="8" t="str">
        <f t="shared" si="3"/>
        <v>JUL</v>
      </c>
    </row>
    <row r="29" spans="1:12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s="8" t="str">
        <f t="shared" si="1"/>
        <v>16</v>
      </c>
      <c r="I29" s="8" t="str">
        <f t="shared" si="2"/>
        <v>ES</v>
      </c>
      <c r="J29" s="8" t="str">
        <f t="shared" si="3"/>
        <v>APR</v>
      </c>
    </row>
    <row r="30" spans="1:12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8" t="str">
        <f t="shared" si="1"/>
        <v>07</v>
      </c>
      <c r="I30" s="8" t="str">
        <f t="shared" si="2"/>
        <v>CA</v>
      </c>
      <c r="J30" s="8" t="str">
        <f t="shared" si="3"/>
        <v>MAR</v>
      </c>
    </row>
    <row r="31" spans="1:12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s="8" t="str">
        <f t="shared" si="1"/>
        <v>13</v>
      </c>
      <c r="I31" s="8" t="str">
        <f t="shared" si="2"/>
        <v>CA</v>
      </c>
      <c r="J31" s="8" t="str">
        <f t="shared" si="3"/>
        <v>APR</v>
      </c>
    </row>
    <row r="32" spans="1:12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8" t="str">
        <f t="shared" si="1"/>
        <v>24</v>
      </c>
      <c r="I32" s="8" t="str">
        <f t="shared" si="2"/>
        <v>CA</v>
      </c>
      <c r="J32" s="8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s="8" t="str">
        <f t="shared" si="1"/>
        <v>02</v>
      </c>
      <c r="I33" s="8" t="str">
        <f t="shared" si="2"/>
        <v>CA</v>
      </c>
      <c r="J33" s="8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8" t="str">
        <f t="shared" si="1"/>
        <v>17</v>
      </c>
      <c r="I34" s="8" t="str">
        <f t="shared" si="2"/>
        <v>IN</v>
      </c>
      <c r="J34" s="8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s="8" t="str">
        <f t="shared" si="1"/>
        <v>09</v>
      </c>
      <c r="I35" s="8" t="str">
        <f t="shared" si="2"/>
        <v>FR</v>
      </c>
      <c r="J35" s="8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K13:K14"/>
    <mergeCell ref="L13:L14"/>
    <mergeCell ref="K16:K17"/>
    <mergeCell ref="L16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Babitha P K</cp:lastModifiedBy>
  <dcterms:created xsi:type="dcterms:W3CDTF">2026-10-19T14:22:08Z</dcterms:created>
  <dcterms:modified xsi:type="dcterms:W3CDTF">2026-10-19T14:22:08Z</dcterms:modified>
</cp:coreProperties>
</file>